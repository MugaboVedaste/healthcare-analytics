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0" authorId="0">
      <text>
        <r>
          <rPr>
            <sz val="10"/>
            <rFont val="Arial"/>
            <family val="2"/>
          </rPr>
          <t xml:space="preserve">Workbench showed 0.000 s for the star query on all 5 runs. 0.016 s is its timer resolution, so the speedup in J10 is a lower bound.</t>
        </r>
      </text>
    </comment>
    <comment ref="O11" authorId="0">
      <text>
        <r>
          <rPr>
            <sz val="10"/>
            <rFont val="Arial"/>
            <family val="2"/>
          </rPr>
          <t xml:space="preserve">100,004 encounters scanned + 250,010 rows read in the self-join.</t>
        </r>
      </text>
    </comment>
    <comment ref="O12" authorId="0">
      <text>
        <r>
          <rPr>
            <sz val="10"/>
            <rFont val="Arial"/>
            <family val="2"/>
          </rPr>
          <t xml:space="preserve">~100,004 encounter lookups + ~100,002 billing lookups.</t>
        </r>
      </text>
    </comment>
  </commentList>
</comments>
</file>

<file path=xl/sharedStrings.xml><?xml version="1.0" encoding="utf-8"?>
<sst xmlns="http://schemas.openxmlformats.org/spreadsheetml/2006/main" count="161" uniqueCount="92">
  <si>
    <t xml:space="preserve">Performance measurements: OLTP (healthcare_analytics) vs star schema (healthcare_analytics_dw)</t>
  </si>
  <si>
    <t xml:space="preserve">Blue = measured inputs (edit these). Black = formulas. Phase 1 and Phase 2 Workbench times are from the project's own MySQL Workbench / EXPLAIN ANALYZE runs; Phase 2 server times are EXPLAIN ANALYZE on an identical copy of the 100,004-encounter dataset.</t>
  </si>
  <si>
    <t xml:space="preserve">Phase</t>
  </si>
  <si>
    <t xml:space="preserve">Dataset</t>
  </si>
  <si>
    <t xml:space="preserve">Timing method</t>
  </si>
  <si>
    <t xml:space="preserve">Query ID</t>
  </si>
  <si>
    <t xml:space="preserve">Query</t>
  </si>
  <si>
    <t xml:space="preserve">OLTP time (s)</t>
  </si>
  <si>
    <t xml:space="preserve">Star time (s)</t>
  </si>
  <si>
    <t xml:space="preserve">OLTP time (ms)</t>
  </si>
  <si>
    <t xml:space="preserve">Star time (ms)</t>
  </si>
  <si>
    <t xml:space="preserve">Speedup (x)</t>
  </si>
  <si>
    <t xml:space="preserve">Faster schema</t>
  </si>
  <si>
    <t xml:space="preserve">Time saved (s)</t>
  </si>
  <si>
    <t xml:space="preserve">OLTP joins</t>
  </si>
  <si>
    <t xml:space="preserve">Star joins</t>
  </si>
  <si>
    <t xml:space="preserve">OLTP rows processed</t>
  </si>
  <si>
    <t xml:space="preserve">Star rows processed</t>
  </si>
  <si>
    <t xml:space="preserve">Row reduction</t>
  </si>
  <si>
    <t xml:space="preserve">Result rows</t>
  </si>
  <si>
    <t xml:space="preserve">Measurement note</t>
  </si>
  <si>
    <t xml:space="preserve">Main reason for the difference</t>
  </si>
  <si>
    <t xml:space="preserve">Phase 1</t>
  </si>
  <si>
    <t xml:space="preserve">Small (4 encounters)</t>
  </si>
  <si>
    <t xml:space="preserve">EXPLAIN ANALYZE</t>
  </si>
  <si>
    <t xml:space="preserve">Q1</t>
  </si>
  <si>
    <t xml:space="preserve">Encounters by specialty</t>
  </si>
  <si>
    <t xml:space="preserve">Earlier draft star query</t>
  </si>
  <si>
    <t xml:space="preserve">Dimension join overhead outweighs savings on tiny data</t>
  </si>
  <si>
    <t xml:space="preserve">Q2</t>
  </si>
  <si>
    <t xml:space="preserve">Diagnosis-procedure pairs</t>
  </si>
  <si>
    <t xml:space="preserve">Earlier draft star query (bridge join at run time)</t>
  </si>
  <si>
    <t xml:space="preserve">Bridge join plus temporary table; no aggregate yet</t>
  </si>
  <si>
    <t xml:space="preserve">Q3</t>
  </si>
  <si>
    <t xml:space="preserve">30-day readmissions</t>
  </si>
  <si>
    <t xml:space="preserve">Earlier draft star query (self-join on fact)</t>
  </si>
  <si>
    <t xml:space="preserve">Fact table searched by patient and datetime</t>
  </si>
  <si>
    <t xml:space="preserve">Q4</t>
  </si>
  <si>
    <t xml:space="preserve">Revenue by specialty</t>
  </si>
  <si>
    <t xml:space="preserve">Earlier draft star query (separate fact_billing)</t>
  </si>
  <si>
    <t xml:space="preserve">Extra fact-to-fact join on tiny data</t>
  </si>
  <si>
    <t xml:space="preserve">Phase 2</t>
  </si>
  <si>
    <t xml:space="preserve">Large (100,004 encounters)</t>
  </si>
  <si>
    <t xml:space="preserve">Workbench median</t>
  </si>
  <si>
    <t xml:space="preserve">Median of Workbench runs</t>
  </si>
  <si>
    <t xml:space="preserve">Specialty key on fact row; covering index; integer month key</t>
  </si>
  <si>
    <t xml:space="preserve">Star showed 0.000 s; 0.016 s is Workbench's resolution, so this speedup is a lower bound</t>
  </si>
  <si>
    <t xml:space="preserve">Pair counts pre-computed in ETL aggregate</t>
  </si>
  <si>
    <t xml:space="preserve">Star at Workbench's ~16 ms resolution; see server-time row</t>
  </si>
  <si>
    <t xml:space="preserve">Readmission flag pre-computed; filtered covering index</t>
  </si>
  <si>
    <t xml:space="preserve">Billing totals on fact row; covering index; no billing join</t>
  </si>
  <si>
    <t xml:space="preserve">Server time (EXPLAIN ANALYZE)</t>
  </si>
  <si>
    <t xml:space="preserve">Server time, identical copy of the data</t>
  </si>
  <si>
    <t xml:space="preserve">Summary tables (all cells are formulas linked to the Data sheet; charts read from here)</t>
  </si>
  <si>
    <t xml:space="preserve">1. Large dataset (100,004 encounters): Workbench median, seconds</t>
  </si>
  <si>
    <t xml:space="preserve">OLTP (s)</t>
  </si>
  <si>
    <t xml:space="preserve">Star (s)</t>
  </si>
  <si>
    <t xml:space="preserve">Query name</t>
  </si>
  <si>
    <t xml:space="preserve">2. Large dataset: server time (EXPLAIN ANALYZE), seconds</t>
  </si>
  <si>
    <t xml:space="preserve">3. Small dataset (4 encounters), milliseconds</t>
  </si>
  <si>
    <t xml:space="preserve">OLTP (ms)</t>
  </si>
  <si>
    <t xml:space="preserve">Star (ms)</t>
  </si>
  <si>
    <t xml:space="preserve">4. Speedup by phase (OLTP time / star time; below 1x = star slower)</t>
  </si>
  <si>
    <t xml:space="preserve">Small dataset</t>
  </si>
  <si>
    <t xml:space="preserve">Large, Workbench</t>
  </si>
  <si>
    <t xml:space="preserve">Large, server time</t>
  </si>
  <si>
    <t xml:space="preserve">5. Large dataset: rows processed</t>
  </si>
  <si>
    <t xml:space="preserve">OLTP rows</t>
  </si>
  <si>
    <t xml:space="preserve">Star rows</t>
  </si>
  <si>
    <t xml:space="preserve">6. Growth from small to large dataset, seconds</t>
  </si>
  <si>
    <t xml:space="preserve">Q1 OLTP</t>
  </si>
  <si>
    <t xml:space="preserve">Q2 OLTP</t>
  </si>
  <si>
    <t xml:space="preserve">Q3 OLTP</t>
  </si>
  <si>
    <t xml:space="preserve">Q4 OLTP</t>
  </si>
  <si>
    <t xml:space="preserve">Q1 Star</t>
  </si>
  <si>
    <t xml:space="preserve">Q2 Star</t>
  </si>
  <si>
    <t xml:space="preserve">Q3 Star</t>
  </si>
  <si>
    <t xml:space="preserve">Q4 Star</t>
  </si>
  <si>
    <t xml:space="preserve">Small (4 enc.)</t>
  </si>
  <si>
    <t xml:space="preserve">Large (100,004 enc.)</t>
  </si>
  <si>
    <t xml:space="preserve">Growth (x)</t>
  </si>
  <si>
    <t xml:space="preserve">7. Key figures</t>
  </si>
  <si>
    <t xml:space="preserve">Queries where star was faster, small dataset</t>
  </si>
  <si>
    <t xml:space="preserve">Queries where star was faster, large dataset (Workbench)</t>
  </si>
  <si>
    <t xml:space="preserve">Total OLTP time, all 4 queries, large (s)</t>
  </si>
  <si>
    <t xml:space="preserve">Total star time, all 4 queries, large (s)</t>
  </si>
  <si>
    <t xml:space="preserve">Overall speedup, all 4 queries combined</t>
  </si>
  <si>
    <t xml:space="preserve">Geometric mean speedup, large (server time)</t>
  </si>
  <si>
    <t xml:space="preserve">Largest speedup, large (server time)</t>
  </si>
  <si>
    <t xml:space="preserve">Smallest speedup, large (server time)</t>
  </si>
  <si>
    <t xml:space="preserve">Performance charts (native Excel charts; they update when the blue inputs on the Data sheet change)</t>
  </si>
  <si>
    <t xml:space="preserve">Note: Q2 and Q3 star Workbench times (chart 1) are at Workbench's ~16 ms timer resolution; chart 2 shows the precise server times.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</si>
</sst>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000"/>
    <numFmt numFmtId="166" formatCode="#,##0.000"/>
    <numFmt numFmtId="167" formatCode="#,##0.00\x"/>
    <numFmt numFmtId="168" formatCode="#,##0"/>
    <numFmt numFmtId="169" formatCode="0.0%"/>
    <numFmt numFmtId="170" formatCode="0.000"/>
    <numFmt numFmtId="171" formatCode="#,##0.0\x"/>
    <numFmt numFmtId="172" formatCode="0.0000"/>
    <numFmt numFmtId="173" formatCode="#,##0\x"/>
    <numFmt numFmtId="174" formatCode="0.00"/>
    <numFmt numFmtId="175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4B2A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3D1C7"/>
      <rgbColor rgb="FF3366FF"/>
      <rgbColor rgb="FF5DCAA5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C1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Large dataset: OLTP vs star (Workbench median)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OLTP (s)</c:v>
                </c:pt>
              </c:strCache>
            </c:strRef>
          </c:tx>
          <c:spPr>
            <a:solidFill>
              <a:srgbClr val="993c1d"/>
            </a:solidFill>
            <a:ln w="0">
              <a:solidFill>
                <a:srgbClr val="993c1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Summary!$B$5:$B$8</c:f>
              <c:numCache>
                <c:formatCode>0.000</c:formatCode>
                <c:ptCount val="4"/>
                <c:pt idx="0">
                  <c:v>0.4</c:v>
                </c:pt>
                <c:pt idx="1">
                  <c:v>2.75</c:v>
                </c:pt>
                <c:pt idx="2">
                  <c:v>0.73</c:v>
                </c:pt>
                <c:pt idx="3">
                  <c:v>0.89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Star (s)</c:v>
                </c:pt>
              </c:strCache>
            </c:strRef>
          </c:tx>
          <c:spPr>
            <a:solidFill>
              <a:srgbClr val="0f6e56"/>
            </a:solidFill>
            <a:ln w="0">
              <a:solidFill>
                <a:srgbClr val="0f6e5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Summary!$C$5:$C$8</c:f>
              <c:numCache>
                <c:formatCode>0.000</c:formatCode>
                <c:ptCount val="4"/>
                <c:pt idx="0">
                  <c:v>0.094</c:v>
                </c:pt>
                <c:pt idx="1">
                  <c:v>0.016</c:v>
                </c:pt>
                <c:pt idx="2">
                  <c:v>0.016</c:v>
                </c:pt>
                <c:pt idx="3">
                  <c:v>0.125</c:v>
                </c:pt>
              </c:numCache>
            </c:numRef>
          </c:val>
        </c:ser>
        <c:gapWidth val="60"/>
        <c:overlap val="0"/>
        <c:axId val="23022211"/>
        <c:axId val="66962849"/>
      </c:barChart>
      <c:catAx>
        <c:axId val="230222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62849"/>
        <c:crosses val="autoZero"/>
        <c:auto val="1"/>
        <c:lblAlgn val="ctr"/>
        <c:lblOffset val="100"/>
        <c:noMultiLvlLbl val="0"/>
      </c:catAx>
      <c:valAx>
        <c:axId val="66962849"/>
        <c:scaling>
          <c:logBase val="10"/>
          <c:orientation val="minMax"/>
          <c:max val="10"/>
          <c:min val="0.0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222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Large dataset: OLTP vs star (server time)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OLTP (s)</c:v>
                </c:pt>
              </c:strCache>
            </c:strRef>
          </c:tx>
          <c:spPr>
            <a:solidFill>
              <a:srgbClr val="993c1d"/>
            </a:solidFill>
            <a:ln w="0">
              <a:solidFill>
                <a:srgbClr val="993c1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Summary!$B$12:$B$15</c:f>
              <c:numCache>
                <c:formatCode>0.0000</c:formatCode>
                <c:ptCount val="4"/>
                <c:pt idx="0">
                  <c:v>0.262</c:v>
                </c:pt>
                <c:pt idx="1">
                  <c:v>1.208</c:v>
                </c:pt>
                <c:pt idx="2">
                  <c:v>0.501</c:v>
                </c:pt>
                <c:pt idx="3">
                  <c:v>0.483</c:v>
                </c:pt>
              </c:numCache>
            </c:numRef>
          </c:val>
        </c:ser>
        <c:ser>
          <c:idx val="1"/>
          <c:order val="1"/>
          <c:tx>
            <c:strRef>
              <c:f>Summary!C11</c:f>
              <c:strCache>
                <c:ptCount val="1"/>
                <c:pt idx="0">
                  <c:v>Star (s)</c:v>
                </c:pt>
              </c:strCache>
            </c:strRef>
          </c:tx>
          <c:spPr>
            <a:solidFill>
              <a:srgbClr val="0f6e56"/>
            </a:solidFill>
            <a:ln w="0">
              <a:solidFill>
                <a:srgbClr val="0f6e5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Summary!$C$12:$C$15</c:f>
              <c:numCache>
                <c:formatCode>0.0000</c:formatCode>
                <c:ptCount val="4"/>
                <c:pt idx="0">
                  <c:v>0.067</c:v>
                </c:pt>
                <c:pt idx="1">
                  <c:v>0.00027</c:v>
                </c:pt>
                <c:pt idx="2">
                  <c:v>0.018</c:v>
                </c:pt>
                <c:pt idx="3">
                  <c:v>0.072</c:v>
                </c:pt>
              </c:numCache>
            </c:numRef>
          </c:val>
        </c:ser>
        <c:gapWidth val="60"/>
        <c:overlap val="0"/>
        <c:axId val="34765005"/>
        <c:axId val="54825850"/>
      </c:barChart>
      <c:catAx>
        <c:axId val="347650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25850"/>
        <c:crosses val="autoZero"/>
        <c:auto val="1"/>
        <c:lblAlgn val="ctr"/>
        <c:lblOffset val="100"/>
        <c:noMultiLvlLbl val="0"/>
      </c:catAx>
      <c:valAx>
        <c:axId val="54825850"/>
        <c:scaling>
          <c:logBase val="10"/>
          <c:orientation val="minMax"/>
          <c:max val="10"/>
          <c:min val="0.000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650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Small dataset (4 encounters): OLTP vs star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Summary!B18</c:f>
              <c:strCache>
                <c:ptCount val="1"/>
                <c:pt idx="0">
                  <c:v>OLTP (ms)</c:v>
                </c:pt>
              </c:strCache>
            </c:strRef>
          </c:tx>
          <c:spPr>
            <a:solidFill>
              <a:srgbClr val="993c1d"/>
            </a:solidFill>
            <a:ln w="0">
              <a:solidFill>
                <a:srgbClr val="993c1d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Summary!$B$19:$B$22</c:f>
              <c:numCache>
                <c:formatCode>0.000</c:formatCode>
                <c:ptCount val="4"/>
                <c:pt idx="0">
                  <c:v>0.123</c:v>
                </c:pt>
                <c:pt idx="1">
                  <c:v>0.228</c:v>
                </c:pt>
                <c:pt idx="2">
                  <c:v>0.682</c:v>
                </c:pt>
                <c:pt idx="3">
                  <c:v>0.247</c:v>
                </c:pt>
              </c:numCache>
            </c:numRef>
          </c:val>
        </c:ser>
        <c:ser>
          <c:idx val="1"/>
          <c:order val="1"/>
          <c:tx>
            <c:strRef>
              <c:f>Summary!C18</c:f>
              <c:strCache>
                <c:ptCount val="1"/>
                <c:pt idx="0">
                  <c:v>Star (ms)</c:v>
                </c:pt>
              </c:strCache>
            </c:strRef>
          </c:tx>
          <c:spPr>
            <a:solidFill>
              <a:srgbClr val="0f6e56"/>
            </a:solidFill>
            <a:ln w="0">
              <a:solidFill>
                <a:srgbClr val="0f6e5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Summary!$C$19:$C$22</c:f>
              <c:numCache>
                <c:formatCode>0.000</c:formatCode>
                <c:ptCount val="4"/>
                <c:pt idx="0">
                  <c:v>0.175</c:v>
                </c:pt>
                <c:pt idx="1">
                  <c:v>0.957</c:v>
                </c:pt>
                <c:pt idx="2">
                  <c:v>0.322</c:v>
                </c:pt>
                <c:pt idx="3">
                  <c:v>0.275</c:v>
                </c:pt>
              </c:numCache>
            </c:numRef>
          </c:val>
        </c:ser>
        <c:gapWidth val="60"/>
        <c:overlap val="0"/>
        <c:axId val="12095109"/>
        <c:axId val="92901589"/>
      </c:barChart>
      <c:catAx>
        <c:axId val="12095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01589"/>
        <c:crosses val="autoZero"/>
        <c:auto val="1"/>
        <c:lblAlgn val="ctr"/>
        <c:lblOffset val="100"/>
        <c:noMultiLvlLbl val="0"/>
      </c:catAx>
      <c:valAx>
        <c:axId val="929015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Milliseconds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951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Speedup by phase (below 1x = star slower)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Summary!B25</c:f>
              <c:strCache>
                <c:ptCount val="1"/>
                <c:pt idx="0">
                  <c:v>Small dataset</c:v>
                </c:pt>
              </c:strCache>
            </c:strRef>
          </c:tx>
          <c:spPr>
            <a:solidFill>
              <a:srgbClr val="b4b2a9"/>
            </a:solidFill>
            <a:ln w="0">
              <a:solidFill>
                <a:srgbClr val="b4b2a9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Summary!$B$26:$B$29</c:f>
              <c:numCache>
                <c:formatCode>#,##0.00\x</c:formatCode>
                <c:ptCount val="4"/>
                <c:pt idx="0">
                  <c:v>0.702857142857143</c:v>
                </c:pt>
                <c:pt idx="1">
                  <c:v>0.238244514106583</c:v>
                </c:pt>
                <c:pt idx="2">
                  <c:v>2.11801242236025</c:v>
                </c:pt>
                <c:pt idx="3">
                  <c:v>0.898181818181818</c:v>
                </c:pt>
              </c:numCache>
            </c:numRef>
          </c:val>
        </c:ser>
        <c:ser>
          <c:idx val="1"/>
          <c:order val="1"/>
          <c:tx>
            <c:strRef>
              <c:f>Summary!C25</c:f>
              <c:strCache>
                <c:ptCount val="1"/>
                <c:pt idx="0">
                  <c:v>Large, Workbench</c:v>
                </c:pt>
              </c:strCache>
            </c:strRef>
          </c:tx>
          <c:spPr>
            <a:solidFill>
              <a:srgbClr val="5dcaa5"/>
            </a:solidFill>
            <a:ln w="0">
              <a:solidFill>
                <a:srgbClr val="5dcaa5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Summary!$C$26:$C$29</c:f>
              <c:numCache>
                <c:formatCode>#,##0.0\x</c:formatCode>
                <c:ptCount val="4"/>
                <c:pt idx="0">
                  <c:v>4.25531914893617</c:v>
                </c:pt>
                <c:pt idx="1">
                  <c:v>171.875</c:v>
                </c:pt>
                <c:pt idx="2">
                  <c:v>45.625</c:v>
                </c:pt>
                <c:pt idx="3">
                  <c:v>7.12</c:v>
                </c:pt>
              </c:numCache>
            </c:numRef>
          </c:val>
        </c:ser>
        <c:ser>
          <c:idx val="2"/>
          <c:order val="2"/>
          <c:tx>
            <c:strRef>
              <c:f>Summary!D25</c:f>
              <c:strCache>
                <c:ptCount val="1"/>
                <c:pt idx="0">
                  <c:v>Large, server time</c:v>
                </c:pt>
              </c:strCache>
            </c:strRef>
          </c:tx>
          <c:spPr>
            <a:solidFill>
              <a:srgbClr val="0f6e56"/>
            </a:solidFill>
            <a:ln w="0">
              <a:solidFill>
                <a:srgbClr val="0f6e5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Summary!$D$26:$D$29</c:f>
              <c:numCache>
                <c:formatCode>#,##0.0\x</c:formatCode>
                <c:ptCount val="4"/>
                <c:pt idx="0">
                  <c:v>3.91044776119403</c:v>
                </c:pt>
                <c:pt idx="1">
                  <c:v>4474.07407407407</c:v>
                </c:pt>
                <c:pt idx="2">
                  <c:v>27.8333333333333</c:v>
                </c:pt>
                <c:pt idx="3">
                  <c:v>6.70833333333333</c:v>
                </c:pt>
              </c:numCache>
            </c:numRef>
          </c:val>
        </c:ser>
        <c:gapWidth val="60"/>
        <c:overlap val="0"/>
        <c:axId val="73556409"/>
        <c:axId val="47362457"/>
      </c:barChart>
      <c:catAx>
        <c:axId val="73556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62457"/>
        <c:crosses val="autoZero"/>
        <c:auto val="1"/>
        <c:lblAlgn val="ctr"/>
        <c:lblOffset val="100"/>
        <c:noMultiLvlLbl val="0"/>
      </c:catAx>
      <c:valAx>
        <c:axId val="47362457"/>
        <c:scaling>
          <c:logBase val="10"/>
          <c:orientation val="minMax"/>
          <c:max val="10000"/>
          <c:min val="0.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Speedup, x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564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5. Large dataset: rows processed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Summary!B32</c:f>
              <c:strCache>
                <c:ptCount val="1"/>
                <c:pt idx="0">
                  <c:v>OLTP rows</c:v>
                </c:pt>
              </c:strCache>
            </c:strRef>
          </c:tx>
          <c:spPr>
            <a:solidFill>
              <a:srgbClr val="993c1d"/>
            </a:solidFill>
            <a:ln w="0">
              <a:solidFill>
                <a:srgbClr val="993c1d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Summary!$A$33:$A$36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Summary!$B$33:$B$36</c:f>
              <c:numCache>
                <c:formatCode>#,##0</c:formatCode>
                <c:ptCount val="4"/>
                <c:pt idx="0">
                  <c:v>100004</c:v>
                </c:pt>
                <c:pt idx="1">
                  <c:v>266673</c:v>
                </c:pt>
                <c:pt idx="2">
                  <c:v>350014</c:v>
                </c:pt>
                <c:pt idx="3">
                  <c:v>200006</c:v>
                </c:pt>
              </c:numCache>
            </c:numRef>
          </c:val>
        </c:ser>
        <c:ser>
          <c:idx val="1"/>
          <c:order val="1"/>
          <c:tx>
            <c:strRef>
              <c:f>Summary!C32</c:f>
              <c:strCache>
                <c:ptCount val="1"/>
                <c:pt idx="0">
                  <c:v>Star rows</c:v>
                </c:pt>
              </c:strCache>
            </c:strRef>
          </c:tx>
          <c:spPr>
            <a:solidFill>
              <a:srgbClr val="0f6e56"/>
            </a:solidFill>
            <a:ln w="0">
              <a:solidFill>
                <a:srgbClr val="0f6e5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Summary!$A$33:$A$36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Summary!$C$33:$C$36</c:f>
              <c:numCache>
                <c:formatCode>#,##0</c:formatCode>
                <c:ptCount val="4"/>
                <c:pt idx="0">
                  <c:v>100004</c:v>
                </c:pt>
                <c:pt idx="1">
                  <c:v>449</c:v>
                </c:pt>
                <c:pt idx="2">
                  <c:v>25001</c:v>
                </c:pt>
                <c:pt idx="3">
                  <c:v>100004</c:v>
                </c:pt>
              </c:numCache>
            </c:numRef>
          </c:val>
        </c:ser>
        <c:gapWidth val="60"/>
        <c:overlap val="0"/>
        <c:axId val="75999782"/>
        <c:axId val="42589990"/>
      </c:barChart>
      <c:catAx>
        <c:axId val="75999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89990"/>
        <c:crosses val="autoZero"/>
        <c:auto val="1"/>
        <c:lblAlgn val="ctr"/>
        <c:lblOffset val="100"/>
        <c:noMultiLvlLbl val="0"/>
      </c:catAx>
      <c:valAx>
        <c:axId val="42589990"/>
        <c:scaling>
          <c:logBase val="10"/>
          <c:orientation val="minMax"/>
          <c:max val="1000000"/>
          <c:min val="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Rows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997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6. Growth from small to large dataset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Summary!B39</c:f>
              <c:strCache>
                <c:ptCount val="1"/>
                <c:pt idx="0">
                  <c:v>Q1 OLTP</c:v>
                </c:pt>
              </c:strCache>
            </c:strRef>
          </c:tx>
          <c:spPr>
            <a:solidFill>
              <a:srgbClr val="993c1d"/>
            </a:solidFill>
            <a:ln w="19080">
              <a:solidFill>
                <a:srgbClr val="993c1d"/>
              </a:solidFill>
              <a:round/>
            </a:ln>
          </c:spPr>
          <c:marker>
            <c:symbol val="circle"/>
            <c:size val="6"/>
            <c:spPr>
              <a:solidFill>
                <a:srgbClr val="993c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Summary!$A$40:$A$41</c:f>
              <c:strCache>
                <c:ptCount val="2"/>
                <c:pt idx="0">
                  <c:v>Small (4 enc.)</c:v>
                </c:pt>
                <c:pt idx="1">
                  <c:v>Large (100,004 enc.)</c:v>
                </c:pt>
              </c:strCache>
            </c:strRef>
          </c:cat>
          <c:val>
            <c:numRef>
              <c:f>Summary!$B$40:$B$41</c:f>
              <c:numCache>
                <c:formatCode>0.000000</c:formatCode>
                <c:ptCount val="2"/>
                <c:pt idx="0">
                  <c:v>0.000123</c:v>
                </c:pt>
                <c:pt idx="1">
                  <c:v>0.4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Summary!C39</c:f>
              <c:strCache>
                <c:ptCount val="1"/>
                <c:pt idx="0">
                  <c:v>Q2 OLTP</c:v>
                </c:pt>
              </c:strCache>
            </c:strRef>
          </c:tx>
          <c:spPr>
            <a:solidFill>
              <a:srgbClr val="993c1d"/>
            </a:solidFill>
            <a:ln w="19080">
              <a:solidFill>
                <a:srgbClr val="993c1d"/>
              </a:solidFill>
              <a:round/>
            </a:ln>
          </c:spPr>
          <c:marker>
            <c:symbol val="circle"/>
            <c:size val="6"/>
            <c:spPr>
              <a:solidFill>
                <a:srgbClr val="993c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Summary!$A$40:$A$41</c:f>
              <c:strCache>
                <c:ptCount val="2"/>
                <c:pt idx="0">
                  <c:v>Small (4 enc.)</c:v>
                </c:pt>
                <c:pt idx="1">
                  <c:v>Large (100,004 enc.)</c:v>
                </c:pt>
              </c:strCache>
            </c:strRef>
          </c:cat>
          <c:val>
            <c:numRef>
              <c:f>Summary!$C$40:$C$41</c:f>
              <c:numCache>
                <c:formatCode>0.000000</c:formatCode>
                <c:ptCount val="2"/>
                <c:pt idx="0">
                  <c:v>0.000228</c:v>
                </c:pt>
                <c:pt idx="1">
                  <c:v>2.75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Summary!D39</c:f>
              <c:strCache>
                <c:ptCount val="1"/>
                <c:pt idx="0">
                  <c:v>Q3 OLTP</c:v>
                </c:pt>
              </c:strCache>
            </c:strRef>
          </c:tx>
          <c:spPr>
            <a:solidFill>
              <a:srgbClr val="993c1d"/>
            </a:solidFill>
            <a:ln w="19080">
              <a:solidFill>
                <a:srgbClr val="993c1d"/>
              </a:solidFill>
              <a:round/>
            </a:ln>
          </c:spPr>
          <c:marker>
            <c:symbol val="circle"/>
            <c:size val="6"/>
            <c:spPr>
              <a:solidFill>
                <a:srgbClr val="993c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Summary!$A$40:$A$41</c:f>
              <c:strCache>
                <c:ptCount val="2"/>
                <c:pt idx="0">
                  <c:v>Small (4 enc.)</c:v>
                </c:pt>
                <c:pt idx="1">
                  <c:v>Large (100,004 enc.)</c:v>
                </c:pt>
              </c:strCache>
            </c:strRef>
          </c:cat>
          <c:val>
            <c:numRef>
              <c:f>Summary!$D$40:$D$41</c:f>
              <c:numCache>
                <c:formatCode>0.000000</c:formatCode>
                <c:ptCount val="2"/>
                <c:pt idx="0">
                  <c:v>0.000682</c:v>
                </c:pt>
                <c:pt idx="1">
                  <c:v>0.73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Summary!E39</c:f>
              <c:strCache>
                <c:ptCount val="1"/>
                <c:pt idx="0">
                  <c:v>Q4 OLTP</c:v>
                </c:pt>
              </c:strCache>
            </c:strRef>
          </c:tx>
          <c:spPr>
            <a:solidFill>
              <a:srgbClr val="993c1d"/>
            </a:solidFill>
            <a:ln w="19080">
              <a:solidFill>
                <a:srgbClr val="993c1d"/>
              </a:solidFill>
              <a:round/>
            </a:ln>
          </c:spPr>
          <c:marker>
            <c:symbol val="circle"/>
            <c:size val="6"/>
            <c:spPr>
              <a:solidFill>
                <a:srgbClr val="993c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Summary!$A$40:$A$41</c:f>
              <c:strCache>
                <c:ptCount val="2"/>
                <c:pt idx="0">
                  <c:v>Small (4 enc.)</c:v>
                </c:pt>
                <c:pt idx="1">
                  <c:v>Large (100,004 enc.)</c:v>
                </c:pt>
              </c:strCache>
            </c:strRef>
          </c:cat>
          <c:val>
            <c:numRef>
              <c:f>Summary!$E$40:$E$41</c:f>
              <c:numCache>
                <c:formatCode>0.000000</c:formatCode>
                <c:ptCount val="2"/>
                <c:pt idx="0">
                  <c:v>0.000247</c:v>
                </c:pt>
                <c:pt idx="1">
                  <c:v>0.89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Summary!F39</c:f>
              <c:strCache>
                <c:ptCount val="1"/>
                <c:pt idx="0">
                  <c:v>Q1 Star</c:v>
                </c:pt>
              </c:strCache>
            </c:strRef>
          </c:tx>
          <c:spPr>
            <a:solidFill>
              <a:srgbClr val="0f6e56"/>
            </a:solidFill>
            <a:ln w="19080">
              <a:solidFill>
                <a:srgbClr val="0f6e56"/>
              </a:solidFill>
              <a:prstDash val="dash"/>
              <a:round/>
            </a:ln>
          </c:spPr>
          <c:marker>
            <c:symbol val="squar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Summary!$A$40:$A$41</c:f>
              <c:strCache>
                <c:ptCount val="2"/>
                <c:pt idx="0">
                  <c:v>Small (4 enc.)</c:v>
                </c:pt>
                <c:pt idx="1">
                  <c:v>Large (100,004 enc.)</c:v>
                </c:pt>
              </c:strCache>
            </c:strRef>
          </c:cat>
          <c:val>
            <c:numRef>
              <c:f>Summary!$F$40:$F$41</c:f>
              <c:numCache>
                <c:formatCode>0.000000</c:formatCode>
                <c:ptCount val="2"/>
                <c:pt idx="0">
                  <c:v>0.000175</c:v>
                </c:pt>
                <c:pt idx="1">
                  <c:v>0.094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Summary!G39</c:f>
              <c:strCache>
                <c:ptCount val="1"/>
                <c:pt idx="0">
                  <c:v>Q2 Star</c:v>
                </c:pt>
              </c:strCache>
            </c:strRef>
          </c:tx>
          <c:spPr>
            <a:solidFill>
              <a:srgbClr val="0f6e56"/>
            </a:solidFill>
            <a:ln w="19080">
              <a:solidFill>
                <a:srgbClr val="0f6e56"/>
              </a:solidFill>
              <a:prstDash val="dash"/>
              <a:round/>
            </a:ln>
          </c:spPr>
          <c:marker>
            <c:symbol val="squar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Summary!$A$40:$A$41</c:f>
              <c:strCache>
                <c:ptCount val="2"/>
                <c:pt idx="0">
                  <c:v>Small (4 enc.)</c:v>
                </c:pt>
                <c:pt idx="1">
                  <c:v>Large (100,004 enc.)</c:v>
                </c:pt>
              </c:strCache>
            </c:strRef>
          </c:cat>
          <c:val>
            <c:numRef>
              <c:f>Summary!$G$40:$G$41</c:f>
              <c:numCache>
                <c:formatCode>0.000000</c:formatCode>
                <c:ptCount val="2"/>
                <c:pt idx="0">
                  <c:v>0.000957</c:v>
                </c:pt>
                <c:pt idx="1">
                  <c:v>0.016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Summary!H39</c:f>
              <c:strCache>
                <c:ptCount val="1"/>
                <c:pt idx="0">
                  <c:v>Q3 Star</c:v>
                </c:pt>
              </c:strCache>
            </c:strRef>
          </c:tx>
          <c:spPr>
            <a:solidFill>
              <a:srgbClr val="0f6e56"/>
            </a:solidFill>
            <a:ln w="19080">
              <a:solidFill>
                <a:srgbClr val="0f6e56"/>
              </a:solidFill>
              <a:prstDash val="dash"/>
              <a:round/>
            </a:ln>
          </c:spPr>
          <c:marker>
            <c:symbol val="squar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Summary!$A$40:$A$41</c:f>
              <c:strCache>
                <c:ptCount val="2"/>
                <c:pt idx="0">
                  <c:v>Small (4 enc.)</c:v>
                </c:pt>
                <c:pt idx="1">
                  <c:v>Large (100,004 enc.)</c:v>
                </c:pt>
              </c:strCache>
            </c:strRef>
          </c:cat>
          <c:val>
            <c:numRef>
              <c:f>Summary!$H$40:$H$41</c:f>
              <c:numCache>
                <c:formatCode>0.000000</c:formatCode>
                <c:ptCount val="2"/>
                <c:pt idx="0">
                  <c:v>0.000322</c:v>
                </c:pt>
                <c:pt idx="1">
                  <c:v>0.016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Summary!I39</c:f>
              <c:strCache>
                <c:ptCount val="1"/>
                <c:pt idx="0">
                  <c:v>Q4 Star</c:v>
                </c:pt>
              </c:strCache>
            </c:strRef>
          </c:tx>
          <c:spPr>
            <a:solidFill>
              <a:srgbClr val="0f6e56"/>
            </a:solidFill>
            <a:ln w="19080">
              <a:solidFill>
                <a:srgbClr val="0f6e56"/>
              </a:solidFill>
              <a:prstDash val="dash"/>
              <a:round/>
            </a:ln>
          </c:spPr>
          <c:marker>
            <c:symbol val="squar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Summary!$A$40:$A$41</c:f>
              <c:strCache>
                <c:ptCount val="2"/>
                <c:pt idx="0">
                  <c:v>Small (4 enc.)</c:v>
                </c:pt>
                <c:pt idx="1">
                  <c:v>Large (100,004 enc.)</c:v>
                </c:pt>
              </c:strCache>
            </c:strRef>
          </c:cat>
          <c:val>
            <c:numRef>
              <c:f>Summary!$I$40:$I$41</c:f>
              <c:numCache>
                <c:formatCode>0.000000</c:formatCode>
                <c:ptCount val="2"/>
                <c:pt idx="0">
                  <c:v>0.000275</c:v>
                </c:pt>
                <c:pt idx="1">
                  <c:v>0.125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199328"/>
        <c:axId val="16900549"/>
      </c:lineChart>
      <c:catAx>
        <c:axId val="719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00549"/>
        <c:crosses val="autoZero"/>
        <c:auto val="1"/>
        <c:lblAlgn val="ctr"/>
        <c:lblOffset val="100"/>
        <c:noMultiLvlLbl val="0"/>
      </c:catAx>
      <c:valAx>
        <c:axId val="16900549"/>
        <c:scaling>
          <c:logBase val="10"/>
          <c:orientation val="minMax"/>
          <c:max val="10"/>
          <c:min val="0.000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9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4680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0" y="3808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20</xdr:col>
      <xdr:colOff>4320</xdr:colOff>
      <xdr:row>20</xdr:row>
      <xdr:rowOff>140760</xdr:rowOff>
    </xdr:to>
    <xdr:graphicFrame>
      <xdr:nvGraphicFramePr>
        <xdr:cNvPr id="1" name="Chart 2"/>
        <xdr:cNvGraphicFramePr/>
      </xdr:nvGraphicFramePr>
      <xdr:xfrm>
        <a:off x="6114960" y="3808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160560</xdr:rowOff>
    </xdr:from>
    <xdr:to>
      <xdr:col>10</xdr:col>
      <xdr:colOff>4680</xdr:colOff>
      <xdr:row>41</xdr:row>
      <xdr:rowOff>140760</xdr:rowOff>
    </xdr:to>
    <xdr:graphicFrame>
      <xdr:nvGraphicFramePr>
        <xdr:cNvPr id="2" name="Chart 3"/>
        <xdr:cNvGraphicFramePr/>
      </xdr:nvGraphicFramePr>
      <xdr:xfrm>
        <a:off x="0" y="438156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22</xdr:row>
      <xdr:rowOff>160560</xdr:rowOff>
    </xdr:from>
    <xdr:to>
      <xdr:col>20</xdr:col>
      <xdr:colOff>4320</xdr:colOff>
      <xdr:row>41</xdr:row>
      <xdr:rowOff>140760</xdr:rowOff>
    </xdr:to>
    <xdr:graphicFrame>
      <xdr:nvGraphicFramePr>
        <xdr:cNvPr id="3" name="Chart 4"/>
        <xdr:cNvGraphicFramePr/>
      </xdr:nvGraphicFramePr>
      <xdr:xfrm>
        <a:off x="6114960" y="438156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160560</xdr:rowOff>
    </xdr:from>
    <xdr:to>
      <xdr:col>10</xdr:col>
      <xdr:colOff>4680</xdr:colOff>
      <xdr:row>62</xdr:row>
      <xdr:rowOff>140760</xdr:rowOff>
    </xdr:to>
    <xdr:graphicFrame>
      <xdr:nvGraphicFramePr>
        <xdr:cNvPr id="4" name="Chart 5"/>
        <xdr:cNvGraphicFramePr/>
      </xdr:nvGraphicFramePr>
      <xdr:xfrm>
        <a:off x="0" y="83818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43</xdr:row>
      <xdr:rowOff>160560</xdr:rowOff>
    </xdr:from>
    <xdr:to>
      <xdr:col>20</xdr:col>
      <xdr:colOff>4320</xdr:colOff>
      <xdr:row>62</xdr:row>
      <xdr:rowOff>140760</xdr:rowOff>
    </xdr:to>
    <xdr:graphicFrame>
      <xdr:nvGraphicFramePr>
        <xdr:cNvPr id="5" name="Chart 6"/>
        <xdr:cNvGraphicFramePr/>
      </xdr:nvGraphicFramePr>
      <xdr:xfrm>
        <a:off x="6114960" y="83818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9" min="6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8"/>
    <col collapsed="false" customWidth="true" hidden="false" outlineLevel="0" max="16" min="15" style="0" width="13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40"/>
    <col collapsed="false" customWidth="true" hidden="false" outlineLevel="0" max="20" min="20" style="0" width="46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5" t="n">
        <v>0.000123</v>
      </c>
      <c r="G5" s="5" t="n">
        <v>0.000175</v>
      </c>
      <c r="H5" s="6" t="n">
        <f aca="false">F5*1000</f>
        <v>0.123</v>
      </c>
      <c r="I5" s="6" t="n">
        <f aca="false">G5*1000</f>
        <v>0.175</v>
      </c>
      <c r="J5" s="7" t="n">
        <f aca="false">IF(G5=0,0,F5/G5)</f>
        <v>0.702857142857143</v>
      </c>
      <c r="K5" s="4" t="str">
        <f aca="false">IF(F5&gt;G5,"Star","OLTP")</f>
        <v>OLTP</v>
      </c>
      <c r="L5" s="8" t="n">
        <f aca="false">F5-G5</f>
        <v>-5.2E-005</v>
      </c>
      <c r="M5" s="9" t="n">
        <v>2</v>
      </c>
      <c r="N5" s="9" t="n">
        <v>3</v>
      </c>
      <c r="O5" s="10" t="n">
        <v>4</v>
      </c>
      <c r="P5" s="10" t="n">
        <v>4</v>
      </c>
      <c r="Q5" s="11" t="n">
        <f aca="false">IF(O5=0,0,1-P5/O5)</f>
        <v>0</v>
      </c>
      <c r="R5" s="10" t="n">
        <v>4</v>
      </c>
      <c r="S5" s="12" t="s">
        <v>27</v>
      </c>
      <c r="T5" s="12" t="s">
        <v>28</v>
      </c>
    </row>
    <row r="6" customFormat="false" ht="15" hidden="false" customHeight="false" outlineLevel="0" collapsed="false">
      <c r="A6" s="4" t="s">
        <v>22</v>
      </c>
      <c r="B6" s="4" t="s">
        <v>23</v>
      </c>
      <c r="C6" s="4" t="s">
        <v>24</v>
      </c>
      <c r="D6" s="4" t="s">
        <v>29</v>
      </c>
      <c r="E6" s="4" t="s">
        <v>30</v>
      </c>
      <c r="F6" s="5" t="n">
        <v>0.000228</v>
      </c>
      <c r="G6" s="5" t="n">
        <v>0.000957</v>
      </c>
      <c r="H6" s="6" t="n">
        <f aca="false">F6*1000</f>
        <v>0.228</v>
      </c>
      <c r="I6" s="6" t="n">
        <f aca="false">G6*1000</f>
        <v>0.957</v>
      </c>
      <c r="J6" s="7" t="n">
        <f aca="false">IF(G6=0,0,F6/G6)</f>
        <v>0.238244514106583</v>
      </c>
      <c r="K6" s="4" t="str">
        <f aca="false">IF(F6&gt;G6,"Star","OLTP")</f>
        <v>OLTP</v>
      </c>
      <c r="L6" s="8" t="n">
        <f aca="false">F6-G6</f>
        <v>-0.000729</v>
      </c>
      <c r="M6" s="9" t="n">
        <v>4</v>
      </c>
      <c r="N6" s="9" t="n">
        <v>3</v>
      </c>
      <c r="O6" s="10" t="n">
        <v>7</v>
      </c>
      <c r="P6" s="10" t="n">
        <v>7</v>
      </c>
      <c r="Q6" s="11" t="n">
        <f aca="false">IF(O6=0,0,1-P6/O6)</f>
        <v>0</v>
      </c>
      <c r="R6" s="10" t="n">
        <v>5</v>
      </c>
      <c r="S6" s="12" t="s">
        <v>31</v>
      </c>
      <c r="T6" s="12" t="s">
        <v>32</v>
      </c>
    </row>
    <row r="7" customFormat="false" ht="15" hidden="false" customHeight="false" outlineLevel="0" collapsed="false">
      <c r="A7" s="4" t="s">
        <v>22</v>
      </c>
      <c r="B7" s="4" t="s">
        <v>23</v>
      </c>
      <c r="C7" s="4" t="s">
        <v>24</v>
      </c>
      <c r="D7" s="4" t="s">
        <v>33</v>
      </c>
      <c r="E7" s="4" t="s">
        <v>34</v>
      </c>
      <c r="F7" s="5" t="n">
        <v>0.000682</v>
      </c>
      <c r="G7" s="5" t="n">
        <v>0.000322</v>
      </c>
      <c r="H7" s="6" t="n">
        <f aca="false">F7*1000</f>
        <v>0.682</v>
      </c>
      <c r="I7" s="6" t="n">
        <f aca="false">G7*1000</f>
        <v>0.322</v>
      </c>
      <c r="J7" s="7" t="n">
        <f aca="false">IF(G7=0,0,F7/G7)</f>
        <v>2.11801242236025</v>
      </c>
      <c r="K7" s="4" t="str">
        <f aca="false">IF(F7&gt;G7,"Star","OLTP")</f>
        <v>Star</v>
      </c>
      <c r="L7" s="8" t="n">
        <f aca="false">F7-G7</f>
        <v>0.00036</v>
      </c>
      <c r="M7" s="9" t="n">
        <v>3</v>
      </c>
      <c r="N7" s="9" t="n">
        <v>3</v>
      </c>
      <c r="O7" s="10" t="n">
        <v>8</v>
      </c>
      <c r="P7" s="10" t="n">
        <v>8</v>
      </c>
      <c r="Q7" s="11" t="n">
        <f aca="false">IF(O7=0,0,1-P7/O7)</f>
        <v>0</v>
      </c>
      <c r="R7" s="10" t="n">
        <v>1</v>
      </c>
      <c r="S7" s="12" t="s">
        <v>35</v>
      </c>
      <c r="T7" s="12" t="s">
        <v>36</v>
      </c>
    </row>
    <row r="8" customFormat="false" ht="15" hidden="false" customHeight="false" outlineLevel="0" collapsed="false">
      <c r="A8" s="4" t="s">
        <v>22</v>
      </c>
      <c r="B8" s="4" t="s">
        <v>23</v>
      </c>
      <c r="C8" s="4" t="s">
        <v>24</v>
      </c>
      <c r="D8" s="4" t="s">
        <v>37</v>
      </c>
      <c r="E8" s="4" t="s">
        <v>38</v>
      </c>
      <c r="F8" s="5" t="n">
        <v>0.000247</v>
      </c>
      <c r="G8" s="5" t="n">
        <v>0.000275</v>
      </c>
      <c r="H8" s="6" t="n">
        <f aca="false">F8*1000</f>
        <v>0.247</v>
      </c>
      <c r="I8" s="6" t="n">
        <f aca="false">G8*1000</f>
        <v>0.275</v>
      </c>
      <c r="J8" s="7" t="n">
        <f aca="false">IF(G8=0,0,F8/G8)</f>
        <v>0.898181818181818</v>
      </c>
      <c r="K8" s="4" t="str">
        <f aca="false">IF(F8&gt;G8,"Star","OLTP")</f>
        <v>OLTP</v>
      </c>
      <c r="L8" s="8" t="n">
        <f aca="false">F8-G8</f>
        <v>-2.8E-005</v>
      </c>
      <c r="M8" s="9" t="n">
        <v>3</v>
      </c>
      <c r="N8" s="9" t="n">
        <v>3</v>
      </c>
      <c r="O8" s="10" t="n">
        <v>2</v>
      </c>
      <c r="P8" s="10" t="n">
        <v>2</v>
      </c>
      <c r="Q8" s="11" t="n">
        <f aca="false">IF(O8=0,0,1-P8/O8)</f>
        <v>0</v>
      </c>
      <c r="R8" s="10" t="n">
        <v>2</v>
      </c>
      <c r="S8" s="12" t="s">
        <v>39</v>
      </c>
      <c r="T8" s="12" t="s">
        <v>40</v>
      </c>
    </row>
    <row r="9" customFormat="false" ht="23.85" hidden="false" customHeight="false" outlineLevel="0" collapsed="false">
      <c r="A9" s="4" t="s">
        <v>41</v>
      </c>
      <c r="B9" s="4" t="s">
        <v>42</v>
      </c>
      <c r="C9" s="4" t="s">
        <v>43</v>
      </c>
      <c r="D9" s="4" t="s">
        <v>25</v>
      </c>
      <c r="E9" s="4" t="s">
        <v>26</v>
      </c>
      <c r="F9" s="5" t="n">
        <v>0.4</v>
      </c>
      <c r="G9" s="5" t="n">
        <v>0.094</v>
      </c>
      <c r="H9" s="6" t="n">
        <f aca="false">F9*1000</f>
        <v>400</v>
      </c>
      <c r="I9" s="6" t="n">
        <f aca="false">G9*1000</f>
        <v>94</v>
      </c>
      <c r="J9" s="7" t="n">
        <f aca="false">IF(G9=0,0,F9/G9)</f>
        <v>4.25531914893617</v>
      </c>
      <c r="K9" s="4" t="str">
        <f aca="false">IF(F9&gt;G9,"Star","OLTP")</f>
        <v>Star</v>
      </c>
      <c r="L9" s="8" t="n">
        <f aca="false">F9-G9</f>
        <v>0.306</v>
      </c>
      <c r="M9" s="9" t="n">
        <v>2</v>
      </c>
      <c r="N9" s="9" t="n">
        <v>3</v>
      </c>
      <c r="O9" s="10" t="n">
        <v>100004</v>
      </c>
      <c r="P9" s="10" t="n">
        <v>100004</v>
      </c>
      <c r="Q9" s="11" t="n">
        <f aca="false">IF(O9=0,0,1-P9/O9)</f>
        <v>0</v>
      </c>
      <c r="R9" s="10" t="n">
        <v>171</v>
      </c>
      <c r="S9" s="12" t="s">
        <v>44</v>
      </c>
      <c r="T9" s="12" t="s">
        <v>45</v>
      </c>
    </row>
    <row r="10" customFormat="false" ht="23.85" hidden="false" customHeight="false" outlineLevel="0" collapsed="false">
      <c r="A10" s="4" t="s">
        <v>41</v>
      </c>
      <c r="B10" s="4" t="s">
        <v>42</v>
      </c>
      <c r="C10" s="4" t="s">
        <v>43</v>
      </c>
      <c r="D10" s="4" t="s">
        <v>29</v>
      </c>
      <c r="E10" s="4" t="s">
        <v>30</v>
      </c>
      <c r="F10" s="5" t="n">
        <v>2.75</v>
      </c>
      <c r="G10" s="5" t="n">
        <v>0.016</v>
      </c>
      <c r="H10" s="6" t="n">
        <f aca="false">F10*1000</f>
        <v>2750</v>
      </c>
      <c r="I10" s="6" t="n">
        <f aca="false">G10*1000</f>
        <v>16</v>
      </c>
      <c r="J10" s="7" t="n">
        <f aca="false">IF(G10=0,0,F10/G10)</f>
        <v>171.875</v>
      </c>
      <c r="K10" s="4" t="str">
        <f aca="false">IF(F10&gt;G10,"Star","OLTP")</f>
        <v>Star</v>
      </c>
      <c r="L10" s="8" t="n">
        <f aca="false">F10-G10</f>
        <v>2.734</v>
      </c>
      <c r="M10" s="9" t="n">
        <v>4</v>
      </c>
      <c r="N10" s="9" t="n">
        <v>2</v>
      </c>
      <c r="O10" s="10" t="n">
        <v>266673</v>
      </c>
      <c r="P10" s="10" t="n">
        <v>449</v>
      </c>
      <c r="Q10" s="11" t="n">
        <f aca="false">IF(O10=0,0,1-P10/O10)</f>
        <v>0.998316289988113</v>
      </c>
      <c r="R10" s="10" t="n">
        <v>9</v>
      </c>
      <c r="S10" s="12" t="s">
        <v>46</v>
      </c>
      <c r="T10" s="12" t="s">
        <v>47</v>
      </c>
    </row>
    <row r="11" customFormat="false" ht="23.85" hidden="false" customHeight="false" outlineLevel="0" collapsed="false">
      <c r="A11" s="4" t="s">
        <v>41</v>
      </c>
      <c r="B11" s="4" t="s">
        <v>42</v>
      </c>
      <c r="C11" s="4" t="s">
        <v>43</v>
      </c>
      <c r="D11" s="4" t="s">
        <v>33</v>
      </c>
      <c r="E11" s="4" t="s">
        <v>34</v>
      </c>
      <c r="F11" s="5" t="n">
        <v>0.73</v>
      </c>
      <c r="G11" s="5" t="n">
        <v>0.016</v>
      </c>
      <c r="H11" s="6" t="n">
        <f aca="false">F11*1000</f>
        <v>730</v>
      </c>
      <c r="I11" s="6" t="n">
        <f aca="false">G11*1000</f>
        <v>16</v>
      </c>
      <c r="J11" s="7" t="n">
        <f aca="false">IF(G11=0,0,F11/G11)</f>
        <v>45.625</v>
      </c>
      <c r="K11" s="4" t="str">
        <f aca="false">IF(F11&gt;G11,"Star","OLTP")</f>
        <v>Star</v>
      </c>
      <c r="L11" s="8" t="n">
        <f aca="false">F11-G11</f>
        <v>0.714</v>
      </c>
      <c r="M11" s="9" t="n">
        <v>3</v>
      </c>
      <c r="N11" s="9" t="n">
        <v>1</v>
      </c>
      <c r="O11" s="10" t="n">
        <v>350014</v>
      </c>
      <c r="P11" s="10" t="n">
        <v>25001</v>
      </c>
      <c r="Q11" s="11" t="n">
        <f aca="false">IF(O11=0,0,1-P11/O11)</f>
        <v>0.928571428571429</v>
      </c>
      <c r="R11" s="10" t="n">
        <v>1</v>
      </c>
      <c r="S11" s="12" t="s">
        <v>48</v>
      </c>
      <c r="T11" s="12" t="s">
        <v>49</v>
      </c>
    </row>
    <row r="12" customFormat="false" ht="15" hidden="false" customHeight="false" outlineLevel="0" collapsed="false">
      <c r="A12" s="4" t="s">
        <v>41</v>
      </c>
      <c r="B12" s="4" t="s">
        <v>42</v>
      </c>
      <c r="C12" s="4" t="s">
        <v>43</v>
      </c>
      <c r="D12" s="4" t="s">
        <v>37</v>
      </c>
      <c r="E12" s="4" t="s">
        <v>38</v>
      </c>
      <c r="F12" s="5" t="n">
        <v>0.89</v>
      </c>
      <c r="G12" s="5" t="n">
        <v>0.125</v>
      </c>
      <c r="H12" s="6" t="n">
        <f aca="false">F12*1000</f>
        <v>890</v>
      </c>
      <c r="I12" s="6" t="n">
        <f aca="false">G12*1000</f>
        <v>125</v>
      </c>
      <c r="J12" s="7" t="n">
        <f aca="false">IF(G12=0,0,F12/G12)</f>
        <v>7.12</v>
      </c>
      <c r="K12" s="4" t="str">
        <f aca="false">IF(F12&gt;G12,"Star","OLTP")</f>
        <v>Star</v>
      </c>
      <c r="L12" s="8" t="n">
        <f aca="false">F12-G12</f>
        <v>0.765</v>
      </c>
      <c r="M12" s="9" t="n">
        <v>3</v>
      </c>
      <c r="N12" s="9" t="n">
        <v>2</v>
      </c>
      <c r="O12" s="10" t="n">
        <v>200006</v>
      </c>
      <c r="P12" s="10" t="n">
        <v>100004</v>
      </c>
      <c r="Q12" s="11" t="n">
        <f aca="false">IF(O12=0,0,1-P12/O12)</f>
        <v>0.499995000149996</v>
      </c>
      <c r="R12" s="10" t="n">
        <v>168</v>
      </c>
      <c r="S12" s="12" t="s">
        <v>44</v>
      </c>
      <c r="T12" s="12" t="s">
        <v>50</v>
      </c>
    </row>
    <row r="13" customFormat="false" ht="23.85" hidden="false" customHeight="false" outlineLevel="0" collapsed="false">
      <c r="A13" s="4" t="s">
        <v>41</v>
      </c>
      <c r="B13" s="4" t="s">
        <v>42</v>
      </c>
      <c r="C13" s="4" t="s">
        <v>51</v>
      </c>
      <c r="D13" s="4" t="s">
        <v>25</v>
      </c>
      <c r="E13" s="4" t="s">
        <v>26</v>
      </c>
      <c r="F13" s="5" t="n">
        <v>0.262</v>
      </c>
      <c r="G13" s="5" t="n">
        <v>0.067</v>
      </c>
      <c r="H13" s="6" t="n">
        <f aca="false">F13*1000</f>
        <v>262</v>
      </c>
      <c r="I13" s="6" t="n">
        <f aca="false">G13*1000</f>
        <v>67</v>
      </c>
      <c r="J13" s="7" t="n">
        <f aca="false">IF(G13=0,0,F13/G13)</f>
        <v>3.91044776119403</v>
      </c>
      <c r="K13" s="4" t="str">
        <f aca="false">IF(F13&gt;G13,"Star","OLTP")</f>
        <v>Star</v>
      </c>
      <c r="L13" s="8" t="n">
        <f aca="false">F13-G13</f>
        <v>0.195</v>
      </c>
      <c r="M13" s="9" t="n">
        <v>2</v>
      </c>
      <c r="N13" s="9" t="n">
        <v>3</v>
      </c>
      <c r="O13" s="10" t="n">
        <v>100004</v>
      </c>
      <c r="P13" s="10" t="n">
        <v>100004</v>
      </c>
      <c r="Q13" s="11" t="n">
        <f aca="false">IF(O13=0,0,1-P13/O13)</f>
        <v>0</v>
      </c>
      <c r="R13" s="10" t="n">
        <v>171</v>
      </c>
      <c r="S13" s="12" t="s">
        <v>52</v>
      </c>
      <c r="T13" s="12" t="s">
        <v>45</v>
      </c>
    </row>
    <row r="14" customFormat="false" ht="15" hidden="false" customHeight="false" outlineLevel="0" collapsed="false">
      <c r="A14" s="4" t="s">
        <v>41</v>
      </c>
      <c r="B14" s="4" t="s">
        <v>42</v>
      </c>
      <c r="C14" s="4" t="s">
        <v>51</v>
      </c>
      <c r="D14" s="4" t="s">
        <v>29</v>
      </c>
      <c r="E14" s="4" t="s">
        <v>30</v>
      </c>
      <c r="F14" s="5" t="n">
        <v>1.208</v>
      </c>
      <c r="G14" s="5" t="n">
        <v>0.00027</v>
      </c>
      <c r="H14" s="6" t="n">
        <f aca="false">F14*1000</f>
        <v>1208</v>
      </c>
      <c r="I14" s="6" t="n">
        <f aca="false">G14*1000</f>
        <v>0.27</v>
      </c>
      <c r="J14" s="7" t="n">
        <f aca="false">IF(G14=0,0,F14/G14)</f>
        <v>4474.07407407407</v>
      </c>
      <c r="K14" s="4" t="str">
        <f aca="false">IF(F14&gt;G14,"Star","OLTP")</f>
        <v>Star</v>
      </c>
      <c r="L14" s="8" t="n">
        <f aca="false">F14-G14</f>
        <v>1.20773</v>
      </c>
      <c r="M14" s="9" t="n">
        <v>4</v>
      </c>
      <c r="N14" s="9" t="n">
        <v>2</v>
      </c>
      <c r="O14" s="10" t="n">
        <v>266673</v>
      </c>
      <c r="P14" s="10" t="n">
        <v>449</v>
      </c>
      <c r="Q14" s="11" t="n">
        <f aca="false">IF(O14=0,0,1-P14/O14)</f>
        <v>0.998316289988113</v>
      </c>
      <c r="R14" s="10" t="n">
        <v>9</v>
      </c>
      <c r="S14" s="12" t="s">
        <v>52</v>
      </c>
      <c r="T14" s="12" t="s">
        <v>47</v>
      </c>
    </row>
    <row r="15" customFormat="false" ht="15" hidden="false" customHeight="false" outlineLevel="0" collapsed="false">
      <c r="A15" s="4" t="s">
        <v>41</v>
      </c>
      <c r="B15" s="4" t="s">
        <v>42</v>
      </c>
      <c r="C15" s="4" t="s">
        <v>51</v>
      </c>
      <c r="D15" s="4" t="s">
        <v>33</v>
      </c>
      <c r="E15" s="4" t="s">
        <v>34</v>
      </c>
      <c r="F15" s="5" t="n">
        <v>0.501</v>
      </c>
      <c r="G15" s="5" t="n">
        <v>0.018</v>
      </c>
      <c r="H15" s="6" t="n">
        <f aca="false">F15*1000</f>
        <v>501</v>
      </c>
      <c r="I15" s="6" t="n">
        <f aca="false">G15*1000</f>
        <v>18</v>
      </c>
      <c r="J15" s="7" t="n">
        <f aca="false">IF(G15=0,0,F15/G15)</f>
        <v>27.8333333333333</v>
      </c>
      <c r="K15" s="4" t="str">
        <f aca="false">IF(F15&gt;G15,"Star","OLTP")</f>
        <v>Star</v>
      </c>
      <c r="L15" s="8" t="n">
        <f aca="false">F15-G15</f>
        <v>0.483</v>
      </c>
      <c r="M15" s="9" t="n">
        <v>3</v>
      </c>
      <c r="N15" s="9" t="n">
        <v>1</v>
      </c>
      <c r="O15" s="10" t="n">
        <v>350014</v>
      </c>
      <c r="P15" s="10" t="n">
        <v>25001</v>
      </c>
      <c r="Q15" s="11" t="n">
        <f aca="false">IF(O15=0,0,1-P15/O15)</f>
        <v>0.928571428571429</v>
      </c>
      <c r="R15" s="10" t="n">
        <v>1</v>
      </c>
      <c r="S15" s="12" t="s">
        <v>52</v>
      </c>
      <c r="T15" s="12" t="s">
        <v>49</v>
      </c>
    </row>
    <row r="16" customFormat="false" ht="15" hidden="false" customHeight="false" outlineLevel="0" collapsed="false">
      <c r="A16" s="4" t="s">
        <v>41</v>
      </c>
      <c r="B16" s="4" t="s">
        <v>42</v>
      </c>
      <c r="C16" s="4" t="s">
        <v>51</v>
      </c>
      <c r="D16" s="4" t="s">
        <v>37</v>
      </c>
      <c r="E16" s="4" t="s">
        <v>38</v>
      </c>
      <c r="F16" s="5" t="n">
        <v>0.483</v>
      </c>
      <c r="G16" s="5" t="n">
        <v>0.072</v>
      </c>
      <c r="H16" s="6" t="n">
        <f aca="false">F16*1000</f>
        <v>483</v>
      </c>
      <c r="I16" s="6" t="n">
        <f aca="false">G16*1000</f>
        <v>72</v>
      </c>
      <c r="J16" s="7" t="n">
        <f aca="false">IF(G16=0,0,F16/G16)</f>
        <v>6.70833333333333</v>
      </c>
      <c r="K16" s="4" t="str">
        <f aca="false">IF(F16&gt;G16,"Star","OLTP")</f>
        <v>Star</v>
      </c>
      <c r="L16" s="8" t="n">
        <f aca="false">F16-G16</f>
        <v>0.411</v>
      </c>
      <c r="M16" s="9" t="n">
        <v>3</v>
      </c>
      <c r="N16" s="9" t="n">
        <v>2</v>
      </c>
      <c r="O16" s="10" t="n">
        <v>200006</v>
      </c>
      <c r="P16" s="10" t="n">
        <v>100004</v>
      </c>
      <c r="Q16" s="11" t="n">
        <f aca="false">IF(O16=0,0,1-P16/O16)</f>
        <v>0.499995000149996</v>
      </c>
      <c r="R16" s="10" t="n">
        <v>168</v>
      </c>
      <c r="S16" s="12" t="s">
        <v>52</v>
      </c>
      <c r="T16" s="12" t="s">
        <v>50</v>
      </c>
    </row>
  </sheetData>
  <mergeCells count="1"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26"/>
    <col collapsed="false" customWidth="true" hidden="false" outlineLevel="0" max="9" min="6" style="0" width="15"/>
  </cols>
  <sheetData>
    <row r="1" customFormat="false" ht="17.35" hidden="false" customHeight="false" outlineLevel="0" collapsed="false">
      <c r="A1" s="1" t="s">
        <v>53</v>
      </c>
    </row>
    <row r="3" customFormat="false" ht="15" hidden="false" customHeight="false" outlineLevel="0" collapsed="false">
      <c r="A3" s="13" t="s">
        <v>54</v>
      </c>
    </row>
    <row r="4" customFormat="false" ht="30" hidden="false" customHeight="true" outlineLevel="0" collapsed="false">
      <c r="A4" s="3" t="s">
        <v>6</v>
      </c>
      <c r="B4" s="3" t="s">
        <v>55</v>
      </c>
      <c r="C4" s="3" t="s">
        <v>56</v>
      </c>
      <c r="D4" s="3" t="s">
        <v>11</v>
      </c>
      <c r="E4" s="3" t="s">
        <v>57</v>
      </c>
    </row>
    <row r="5" customFormat="false" ht="15" hidden="false" customHeight="false" outlineLevel="0" collapsed="false">
      <c r="A5" s="4" t="str">
        <f aca="false">Data!D9</f>
        <v>Q1</v>
      </c>
      <c r="B5" s="14" t="n">
        <f aca="false">Data!F9</f>
        <v>0.4</v>
      </c>
      <c r="C5" s="14" t="n">
        <f aca="false">Data!G9</f>
        <v>0.094</v>
      </c>
      <c r="D5" s="15" t="n">
        <f aca="false">IF(C5=0,0,B5/C5)</f>
        <v>4.25531914893617</v>
      </c>
      <c r="E5" s="4" t="str">
        <f aca="false">Data!E9</f>
        <v>Encounters by specialty</v>
      </c>
    </row>
    <row r="6" customFormat="false" ht="15" hidden="false" customHeight="false" outlineLevel="0" collapsed="false">
      <c r="A6" s="4" t="str">
        <f aca="false">Data!D10</f>
        <v>Q2</v>
      </c>
      <c r="B6" s="14" t="n">
        <f aca="false">Data!F10</f>
        <v>2.75</v>
      </c>
      <c r="C6" s="14" t="n">
        <f aca="false">Data!G10</f>
        <v>0.016</v>
      </c>
      <c r="D6" s="15" t="n">
        <f aca="false">IF(C6=0,0,B6/C6)</f>
        <v>171.875</v>
      </c>
      <c r="E6" s="4" t="str">
        <f aca="false">Data!E10</f>
        <v>Diagnosis-procedure pairs</v>
      </c>
    </row>
    <row r="7" customFormat="false" ht="15" hidden="false" customHeight="false" outlineLevel="0" collapsed="false">
      <c r="A7" s="4" t="str">
        <f aca="false">Data!D11</f>
        <v>Q3</v>
      </c>
      <c r="B7" s="14" t="n">
        <f aca="false">Data!F11</f>
        <v>0.73</v>
      </c>
      <c r="C7" s="14" t="n">
        <f aca="false">Data!G11</f>
        <v>0.016</v>
      </c>
      <c r="D7" s="15" t="n">
        <f aca="false">IF(C7=0,0,B7/C7)</f>
        <v>45.625</v>
      </c>
      <c r="E7" s="4" t="str">
        <f aca="false">Data!E11</f>
        <v>30-day readmissions</v>
      </c>
    </row>
    <row r="8" customFormat="false" ht="15" hidden="false" customHeight="false" outlineLevel="0" collapsed="false">
      <c r="A8" s="4" t="str">
        <f aca="false">Data!D12</f>
        <v>Q4</v>
      </c>
      <c r="B8" s="14" t="n">
        <f aca="false">Data!F12</f>
        <v>0.89</v>
      </c>
      <c r="C8" s="14" t="n">
        <f aca="false">Data!G12</f>
        <v>0.125</v>
      </c>
      <c r="D8" s="15" t="n">
        <f aca="false">IF(C8=0,0,B8/C8)</f>
        <v>7.12</v>
      </c>
      <c r="E8" s="4" t="str">
        <f aca="false">Data!E12</f>
        <v>Revenue by specialty</v>
      </c>
    </row>
    <row r="10" customFormat="false" ht="15" hidden="false" customHeight="false" outlineLevel="0" collapsed="false">
      <c r="A10" s="13" t="s">
        <v>58</v>
      </c>
    </row>
    <row r="11" customFormat="false" ht="30" hidden="false" customHeight="true" outlineLevel="0" collapsed="false">
      <c r="A11" s="3" t="s">
        <v>6</v>
      </c>
      <c r="B11" s="3" t="s">
        <v>55</v>
      </c>
      <c r="C11" s="3" t="s">
        <v>56</v>
      </c>
      <c r="D11" s="3" t="s">
        <v>11</v>
      </c>
      <c r="E11" s="3" t="s">
        <v>57</v>
      </c>
    </row>
    <row r="12" customFormat="false" ht="15" hidden="false" customHeight="false" outlineLevel="0" collapsed="false">
      <c r="A12" s="4" t="str">
        <f aca="false">Data!D13</f>
        <v>Q1</v>
      </c>
      <c r="B12" s="16" t="n">
        <f aca="false">Data!F13</f>
        <v>0.262</v>
      </c>
      <c r="C12" s="16" t="n">
        <f aca="false">Data!G13</f>
        <v>0.067</v>
      </c>
      <c r="D12" s="15" t="n">
        <f aca="false">IF(C12=0,0,B12/C12)</f>
        <v>3.91044776119403</v>
      </c>
      <c r="E12" s="4" t="str">
        <f aca="false">Data!E13</f>
        <v>Encounters by specialty</v>
      </c>
    </row>
    <row r="13" customFormat="false" ht="15" hidden="false" customHeight="false" outlineLevel="0" collapsed="false">
      <c r="A13" s="4" t="str">
        <f aca="false">Data!D14</f>
        <v>Q2</v>
      </c>
      <c r="B13" s="16" t="n">
        <f aca="false">Data!F14</f>
        <v>1.208</v>
      </c>
      <c r="C13" s="16" t="n">
        <f aca="false">Data!G14</f>
        <v>0.00027</v>
      </c>
      <c r="D13" s="15" t="n">
        <f aca="false">IF(C13=0,0,B13/C13)</f>
        <v>4474.07407407407</v>
      </c>
      <c r="E13" s="4" t="str">
        <f aca="false">Data!E14</f>
        <v>Diagnosis-procedure pairs</v>
      </c>
    </row>
    <row r="14" customFormat="false" ht="15" hidden="false" customHeight="false" outlineLevel="0" collapsed="false">
      <c r="A14" s="4" t="str">
        <f aca="false">Data!D15</f>
        <v>Q3</v>
      </c>
      <c r="B14" s="16" t="n">
        <f aca="false">Data!F15</f>
        <v>0.501</v>
      </c>
      <c r="C14" s="16" t="n">
        <f aca="false">Data!G15</f>
        <v>0.018</v>
      </c>
      <c r="D14" s="15" t="n">
        <f aca="false">IF(C14=0,0,B14/C14)</f>
        <v>27.8333333333333</v>
      </c>
      <c r="E14" s="4" t="str">
        <f aca="false">Data!E15</f>
        <v>30-day readmissions</v>
      </c>
    </row>
    <row r="15" customFormat="false" ht="15" hidden="false" customHeight="false" outlineLevel="0" collapsed="false">
      <c r="A15" s="4" t="str">
        <f aca="false">Data!D16</f>
        <v>Q4</v>
      </c>
      <c r="B15" s="16" t="n">
        <f aca="false">Data!F16</f>
        <v>0.483</v>
      </c>
      <c r="C15" s="16" t="n">
        <f aca="false">Data!G16</f>
        <v>0.072</v>
      </c>
      <c r="D15" s="15" t="n">
        <f aca="false">IF(C15=0,0,B15/C15)</f>
        <v>6.70833333333333</v>
      </c>
      <c r="E15" s="4" t="str">
        <f aca="false">Data!E16</f>
        <v>Revenue by specialty</v>
      </c>
    </row>
    <row r="17" customFormat="false" ht="15" hidden="false" customHeight="false" outlineLevel="0" collapsed="false">
      <c r="A17" s="13" t="s">
        <v>59</v>
      </c>
    </row>
    <row r="18" customFormat="false" ht="30" hidden="false" customHeight="true" outlineLevel="0" collapsed="false">
      <c r="A18" s="3" t="s">
        <v>6</v>
      </c>
      <c r="B18" s="3" t="s">
        <v>60</v>
      </c>
      <c r="C18" s="3" t="s">
        <v>61</v>
      </c>
      <c r="D18" s="3" t="s">
        <v>11</v>
      </c>
      <c r="E18" s="3" t="s">
        <v>57</v>
      </c>
    </row>
    <row r="19" customFormat="false" ht="15" hidden="false" customHeight="false" outlineLevel="0" collapsed="false">
      <c r="A19" s="4" t="str">
        <f aca="false">Data!D5</f>
        <v>Q1</v>
      </c>
      <c r="B19" s="14" t="n">
        <f aca="false">Data!H5</f>
        <v>0.123</v>
      </c>
      <c r="C19" s="14" t="n">
        <f aca="false">Data!I5</f>
        <v>0.175</v>
      </c>
      <c r="D19" s="7" t="n">
        <f aca="false">IF(C19=0,0,B19/C19)</f>
        <v>0.702857142857143</v>
      </c>
      <c r="E19" s="4" t="str">
        <f aca="false">Data!E5</f>
        <v>Encounters by specialty</v>
      </c>
    </row>
    <row r="20" customFormat="false" ht="15" hidden="false" customHeight="false" outlineLevel="0" collapsed="false">
      <c r="A20" s="4" t="str">
        <f aca="false">Data!D6</f>
        <v>Q2</v>
      </c>
      <c r="B20" s="14" t="n">
        <f aca="false">Data!H6</f>
        <v>0.228</v>
      </c>
      <c r="C20" s="14" t="n">
        <f aca="false">Data!I6</f>
        <v>0.957</v>
      </c>
      <c r="D20" s="7" t="n">
        <f aca="false">IF(C20=0,0,B20/C20)</f>
        <v>0.238244514106583</v>
      </c>
      <c r="E20" s="4" t="str">
        <f aca="false">Data!E6</f>
        <v>Diagnosis-procedure pairs</v>
      </c>
    </row>
    <row r="21" customFormat="false" ht="15" hidden="false" customHeight="false" outlineLevel="0" collapsed="false">
      <c r="A21" s="4" t="str">
        <f aca="false">Data!D7</f>
        <v>Q3</v>
      </c>
      <c r="B21" s="14" t="n">
        <f aca="false">Data!H7</f>
        <v>0.682</v>
      </c>
      <c r="C21" s="14" t="n">
        <f aca="false">Data!I7</f>
        <v>0.322</v>
      </c>
      <c r="D21" s="7" t="n">
        <f aca="false">IF(C21=0,0,B21/C21)</f>
        <v>2.11801242236025</v>
      </c>
      <c r="E21" s="4" t="str">
        <f aca="false">Data!E7</f>
        <v>30-day readmissions</v>
      </c>
    </row>
    <row r="22" customFormat="false" ht="15" hidden="false" customHeight="false" outlineLevel="0" collapsed="false">
      <c r="A22" s="4" t="str">
        <f aca="false">Data!D8</f>
        <v>Q4</v>
      </c>
      <c r="B22" s="14" t="n">
        <f aca="false">Data!H8</f>
        <v>0.247</v>
      </c>
      <c r="C22" s="14" t="n">
        <f aca="false">Data!I8</f>
        <v>0.275</v>
      </c>
      <c r="D22" s="7" t="n">
        <f aca="false">IF(C22=0,0,B22/C22)</f>
        <v>0.898181818181818</v>
      </c>
      <c r="E22" s="4" t="str">
        <f aca="false">Data!E8</f>
        <v>Revenue by specialty</v>
      </c>
    </row>
    <row r="24" customFormat="false" ht="15" hidden="false" customHeight="false" outlineLevel="0" collapsed="false">
      <c r="A24" s="13" t="s">
        <v>62</v>
      </c>
    </row>
    <row r="25" customFormat="false" ht="30" hidden="false" customHeight="true" outlineLevel="0" collapsed="false">
      <c r="A25" s="3" t="s">
        <v>6</v>
      </c>
      <c r="B25" s="3" t="s">
        <v>63</v>
      </c>
      <c r="C25" s="3" t="s">
        <v>64</v>
      </c>
      <c r="D25" s="3" t="s">
        <v>65</v>
      </c>
      <c r="E25" s="3" t="s">
        <v>57</v>
      </c>
    </row>
    <row r="26" customFormat="false" ht="15" hidden="false" customHeight="false" outlineLevel="0" collapsed="false">
      <c r="A26" s="4" t="str">
        <f aca="false">Data!D5</f>
        <v>Q1</v>
      </c>
      <c r="B26" s="7" t="n">
        <f aca="false">D19</f>
        <v>0.702857142857143</v>
      </c>
      <c r="C26" s="15" t="n">
        <f aca="false">D5</f>
        <v>4.25531914893617</v>
      </c>
      <c r="D26" s="15" t="n">
        <f aca="false">D12</f>
        <v>3.91044776119403</v>
      </c>
      <c r="E26" s="4" t="str">
        <f aca="false">Data!E5</f>
        <v>Encounters by specialty</v>
      </c>
    </row>
    <row r="27" customFormat="false" ht="15" hidden="false" customHeight="false" outlineLevel="0" collapsed="false">
      <c r="A27" s="4" t="str">
        <f aca="false">Data!D6</f>
        <v>Q2</v>
      </c>
      <c r="B27" s="7" t="n">
        <f aca="false">D20</f>
        <v>0.238244514106583</v>
      </c>
      <c r="C27" s="15" t="n">
        <f aca="false">D6</f>
        <v>171.875</v>
      </c>
      <c r="D27" s="15" t="n">
        <f aca="false">D13</f>
        <v>4474.07407407407</v>
      </c>
      <c r="E27" s="4" t="str">
        <f aca="false">Data!E6</f>
        <v>Diagnosis-procedure pairs</v>
      </c>
    </row>
    <row r="28" customFormat="false" ht="15" hidden="false" customHeight="false" outlineLevel="0" collapsed="false">
      <c r="A28" s="4" t="str">
        <f aca="false">Data!D7</f>
        <v>Q3</v>
      </c>
      <c r="B28" s="7" t="n">
        <f aca="false">D21</f>
        <v>2.11801242236025</v>
      </c>
      <c r="C28" s="15" t="n">
        <f aca="false">D7</f>
        <v>45.625</v>
      </c>
      <c r="D28" s="15" t="n">
        <f aca="false">D14</f>
        <v>27.8333333333333</v>
      </c>
      <c r="E28" s="4" t="str">
        <f aca="false">Data!E7</f>
        <v>30-day readmissions</v>
      </c>
    </row>
    <row r="29" customFormat="false" ht="15" hidden="false" customHeight="false" outlineLevel="0" collapsed="false">
      <c r="A29" s="4" t="str">
        <f aca="false">Data!D8</f>
        <v>Q4</v>
      </c>
      <c r="B29" s="7" t="n">
        <f aca="false">D22</f>
        <v>0.898181818181818</v>
      </c>
      <c r="C29" s="15" t="n">
        <f aca="false">D8</f>
        <v>7.12</v>
      </c>
      <c r="D29" s="15" t="n">
        <f aca="false">D15</f>
        <v>6.70833333333333</v>
      </c>
      <c r="E29" s="4" t="str">
        <f aca="false">Data!E8</f>
        <v>Revenue by specialty</v>
      </c>
    </row>
    <row r="31" customFormat="false" ht="15" hidden="false" customHeight="false" outlineLevel="0" collapsed="false">
      <c r="A31" s="13" t="s">
        <v>66</v>
      </c>
    </row>
    <row r="32" customFormat="false" ht="30" hidden="false" customHeight="true" outlineLevel="0" collapsed="false">
      <c r="A32" s="3" t="s">
        <v>6</v>
      </c>
      <c r="B32" s="3" t="s">
        <v>67</v>
      </c>
      <c r="C32" s="3" t="s">
        <v>68</v>
      </c>
      <c r="D32" s="3" t="s">
        <v>18</v>
      </c>
      <c r="E32" s="3" t="s">
        <v>57</v>
      </c>
    </row>
    <row r="33" customFormat="false" ht="15" hidden="false" customHeight="false" outlineLevel="0" collapsed="false">
      <c r="A33" s="4" t="str">
        <f aca="false">Data!D9</f>
        <v>Q1</v>
      </c>
      <c r="B33" s="17" t="n">
        <f aca="false">Data!O9</f>
        <v>100004</v>
      </c>
      <c r="C33" s="17" t="n">
        <f aca="false">Data!P9</f>
        <v>100004</v>
      </c>
      <c r="D33" s="11" t="n">
        <f aca="false">IF(B33=0,0,1-C33/B33)</f>
        <v>0</v>
      </c>
      <c r="E33" s="4" t="str">
        <f aca="false">Data!E9</f>
        <v>Encounters by specialty</v>
      </c>
    </row>
    <row r="34" customFormat="false" ht="15" hidden="false" customHeight="false" outlineLevel="0" collapsed="false">
      <c r="A34" s="4" t="str">
        <f aca="false">Data!D10</f>
        <v>Q2</v>
      </c>
      <c r="B34" s="17" t="n">
        <f aca="false">Data!O10</f>
        <v>266673</v>
      </c>
      <c r="C34" s="17" t="n">
        <f aca="false">Data!P10</f>
        <v>449</v>
      </c>
      <c r="D34" s="11" t="n">
        <f aca="false">IF(B34=0,0,1-C34/B34)</f>
        <v>0.998316289988113</v>
      </c>
      <c r="E34" s="4" t="str">
        <f aca="false">Data!E10</f>
        <v>Diagnosis-procedure pairs</v>
      </c>
    </row>
    <row r="35" customFormat="false" ht="15" hidden="false" customHeight="false" outlineLevel="0" collapsed="false">
      <c r="A35" s="4" t="str">
        <f aca="false">Data!D11</f>
        <v>Q3</v>
      </c>
      <c r="B35" s="17" t="n">
        <f aca="false">Data!O11</f>
        <v>350014</v>
      </c>
      <c r="C35" s="17" t="n">
        <f aca="false">Data!P11</f>
        <v>25001</v>
      </c>
      <c r="D35" s="11" t="n">
        <f aca="false">IF(B35=0,0,1-C35/B35)</f>
        <v>0.928571428571429</v>
      </c>
      <c r="E35" s="4" t="str">
        <f aca="false">Data!E11</f>
        <v>30-day readmissions</v>
      </c>
    </row>
    <row r="36" customFormat="false" ht="15" hidden="false" customHeight="false" outlineLevel="0" collapsed="false">
      <c r="A36" s="4" t="str">
        <f aca="false">Data!D12</f>
        <v>Q4</v>
      </c>
      <c r="B36" s="17" t="n">
        <f aca="false">Data!O12</f>
        <v>200006</v>
      </c>
      <c r="C36" s="17" t="n">
        <f aca="false">Data!P12</f>
        <v>100004</v>
      </c>
      <c r="D36" s="11" t="n">
        <f aca="false">IF(B36=0,0,1-C36/B36)</f>
        <v>0.499995000149996</v>
      </c>
      <c r="E36" s="4" t="str">
        <f aca="false">Data!E12</f>
        <v>Revenue by specialty</v>
      </c>
    </row>
    <row r="38" customFormat="false" ht="15" hidden="false" customHeight="false" outlineLevel="0" collapsed="false">
      <c r="A38" s="13" t="s">
        <v>69</v>
      </c>
    </row>
    <row r="39" customFormat="false" ht="30" hidden="false" customHeight="true" outlineLevel="0" collapsed="false">
      <c r="A39" s="3" t="s">
        <v>3</v>
      </c>
      <c r="B39" s="3" t="s">
        <v>70</v>
      </c>
      <c r="C39" s="3" t="s">
        <v>71</v>
      </c>
      <c r="D39" s="3" t="s">
        <v>72</v>
      </c>
      <c r="E39" s="3" t="s">
        <v>73</v>
      </c>
      <c r="F39" s="3" t="s">
        <v>74</v>
      </c>
      <c r="G39" s="3" t="s">
        <v>75</v>
      </c>
      <c r="H39" s="3" t="s">
        <v>76</v>
      </c>
      <c r="I39" s="3" t="s">
        <v>77</v>
      </c>
    </row>
    <row r="40" customFormat="false" ht="15" hidden="false" customHeight="false" outlineLevel="0" collapsed="false">
      <c r="A40" s="4" t="s">
        <v>78</v>
      </c>
      <c r="B40" s="8" t="n">
        <f aca="false">Data!F5</f>
        <v>0.000123</v>
      </c>
      <c r="C40" s="8" t="n">
        <f aca="false">Data!F6</f>
        <v>0.000228</v>
      </c>
      <c r="D40" s="8" t="n">
        <f aca="false">Data!F7</f>
        <v>0.000682</v>
      </c>
      <c r="E40" s="8" t="n">
        <f aca="false">Data!F8</f>
        <v>0.000247</v>
      </c>
      <c r="F40" s="8" t="n">
        <f aca="false">Data!G5</f>
        <v>0.000175</v>
      </c>
      <c r="G40" s="8" t="n">
        <f aca="false">Data!G6</f>
        <v>0.000957</v>
      </c>
      <c r="H40" s="8" t="n">
        <f aca="false">Data!G7</f>
        <v>0.000322</v>
      </c>
      <c r="I40" s="8" t="n">
        <f aca="false">Data!G8</f>
        <v>0.000275</v>
      </c>
    </row>
    <row r="41" customFormat="false" ht="15" hidden="false" customHeight="false" outlineLevel="0" collapsed="false">
      <c r="A41" s="4" t="s">
        <v>79</v>
      </c>
      <c r="B41" s="14" t="n">
        <f aca="false">Data!F9</f>
        <v>0.4</v>
      </c>
      <c r="C41" s="14" t="n">
        <f aca="false">Data!F10</f>
        <v>2.75</v>
      </c>
      <c r="D41" s="14" t="n">
        <f aca="false">Data!F11</f>
        <v>0.73</v>
      </c>
      <c r="E41" s="14" t="n">
        <f aca="false">Data!F12</f>
        <v>0.89</v>
      </c>
      <c r="F41" s="14" t="n">
        <f aca="false">Data!G9</f>
        <v>0.094</v>
      </c>
      <c r="G41" s="14" t="n">
        <f aca="false">Data!G10</f>
        <v>0.016</v>
      </c>
      <c r="H41" s="14" t="n">
        <f aca="false">Data!G11</f>
        <v>0.016</v>
      </c>
      <c r="I41" s="14" t="n">
        <f aca="false">Data!G12</f>
        <v>0.125</v>
      </c>
    </row>
    <row r="42" customFormat="false" ht="15" hidden="false" customHeight="false" outlineLevel="0" collapsed="false">
      <c r="A42" s="4" t="s">
        <v>80</v>
      </c>
      <c r="B42" s="18" t="n">
        <f aca="false">IF(B40=0,0,B41/B40)</f>
        <v>3252.0325203252</v>
      </c>
      <c r="C42" s="18" t="n">
        <f aca="false">IF(C40=0,0,C41/C40)</f>
        <v>12061.4035087719</v>
      </c>
      <c r="D42" s="18" t="n">
        <f aca="false">IF(D40=0,0,D41/D40)</f>
        <v>1070.38123167155</v>
      </c>
      <c r="E42" s="18" t="n">
        <f aca="false">IF(E40=0,0,E41/E40)</f>
        <v>3603.23886639676</v>
      </c>
      <c r="F42" s="18" t="n">
        <f aca="false">IF(F40=0,0,F41/F40)</f>
        <v>537.142857142857</v>
      </c>
      <c r="G42" s="18" t="n">
        <f aca="false">IF(G40=0,0,G41/G40)</f>
        <v>16.7189132706374</v>
      </c>
      <c r="H42" s="18" t="n">
        <f aca="false">IF(H40=0,0,H41/H40)</f>
        <v>49.6894409937888</v>
      </c>
      <c r="I42" s="18" t="n">
        <f aca="false">IF(I40=0,0,I41/I40)</f>
        <v>454.545454545455</v>
      </c>
    </row>
    <row r="44" customFormat="false" ht="15" hidden="false" customHeight="false" outlineLevel="0" collapsed="false">
      <c r="A44" s="13" t="s">
        <v>81</v>
      </c>
    </row>
    <row r="45" customFormat="false" ht="15" hidden="false" customHeight="false" outlineLevel="0" collapsed="false">
      <c r="A45" s="4" t="s">
        <v>82</v>
      </c>
      <c r="B45" s="4" t="str">
        <f aca="false">COUNTIFS(Data!A5:A16,"Phase 1",Data!K5:K16,"Star")&amp;" of 4"</f>
        <v>1 of 4</v>
      </c>
    </row>
    <row r="46" customFormat="false" ht="15" hidden="false" customHeight="false" outlineLevel="0" collapsed="false">
      <c r="A46" s="4" t="s">
        <v>83</v>
      </c>
      <c r="B46" s="4" t="str">
        <f aca="false">COUNTIFS(Data!C5:C16,"Workbench median",Data!K5:K16,"Star")&amp;" of 4"</f>
        <v>4 of 4</v>
      </c>
    </row>
    <row r="47" customFormat="false" ht="15" hidden="false" customHeight="false" outlineLevel="0" collapsed="false">
      <c r="A47" s="4" t="s">
        <v>84</v>
      </c>
      <c r="B47" s="19" t="n">
        <f aca="false">SUM(B5:B8)</f>
        <v>4.77</v>
      </c>
    </row>
    <row r="48" customFormat="false" ht="15" hidden="false" customHeight="false" outlineLevel="0" collapsed="false">
      <c r="A48" s="4" t="s">
        <v>85</v>
      </c>
      <c r="B48" s="14" t="n">
        <f aca="false">SUM(C5:C8)</f>
        <v>0.251</v>
      </c>
    </row>
    <row r="49" customFormat="false" ht="15" hidden="false" customHeight="false" outlineLevel="0" collapsed="false">
      <c r="A49" s="4" t="s">
        <v>86</v>
      </c>
      <c r="B49" s="20" t="n">
        <f aca="false">IF(B48=0,0,B47/B48)</f>
        <v>19.003984063745</v>
      </c>
    </row>
    <row r="50" customFormat="false" ht="15" hidden="false" customHeight="false" outlineLevel="0" collapsed="false">
      <c r="A50" s="4" t="s">
        <v>87</v>
      </c>
      <c r="B50" s="15" t="n">
        <f aca="false">GEOMEAN(D12:D15)</f>
        <v>42.5135507024134</v>
      </c>
    </row>
    <row r="51" customFormat="false" ht="15" hidden="false" customHeight="false" outlineLevel="0" collapsed="false">
      <c r="A51" s="4" t="s">
        <v>88</v>
      </c>
      <c r="B51" s="4" t="str">
        <f aca="false">INDEX(A12:A15,MATCH(MAX(D12:D15),D12:D15,0))&amp;" "&amp;INDEX(E12:E15,MATCH(MAX(D12:D15),D12:D15,0))&amp;" ("&amp;TEXT(MAX(D12:D15),"#,##0")&amp;"x)"</f>
        <v>Q2 Diagnosis-procedure pairs (4,474x)</v>
      </c>
    </row>
    <row r="52" customFormat="false" ht="15" hidden="false" customHeight="false" outlineLevel="0" collapsed="false">
      <c r="A52" s="4" t="s">
        <v>89</v>
      </c>
      <c r="B52" s="4" t="str">
        <f aca="false">INDEX(A12:A15,MATCH(MIN(D12:D15),D12:D15,0))&amp;" "&amp;INDEX(E12:E15,MATCH(MIN(D12:D15),D12:D15,0))&amp;" ("&amp;TEXT(MIN(D12:D15),"0.0")&amp;"x)"</f>
        <v>Q1 Encounters by specialty (3.9x)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90</v>
      </c>
    </row>
    <row r="66" customFormat="false" ht="15" hidden="false" customHeight="false" outlineLevel="0" collapsed="false">
      <c r="A66" s="21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2026-10-30T10:25:56Z</dcterms:created>
  <dc:creator>openpyxl</dc:creator>
  <dc:description/>
  <dc:language>en-US</dc:language>
  <cp:lastModifiedBy/>
  <dcterms:modified xsi:type="dcterms:W3CDTF">2026-10-30T10:25:58Z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